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wogs_inf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<sst xmlns="http://schemas.openxmlformats.org/spreadsheetml/2006/main" count="66" uniqueCount="65">
  <si>
    <t xml:space="preserve">Gewog Code</t>
  </si>
  <si>
    <t xml:space="preserve">Gewog Name</t>
  </si>
  <si>
    <t xml:space="preserve">Neighbour Gewog Codes</t>
  </si>
  <si>
    <t xml:space="preserve">Neighbour Gewog Names</t>
  </si>
  <si>
    <t xml:space="preserve">Centroid Longitude</t>
  </si>
  <si>
    <t xml:space="preserve">Centroid Latitude</t>
  </si>
  <si>
    <t xml:space="preserve">Mean Elevation (m)</t>
  </si>
  <si>
    <t xml:space="preserve">Water Source Count</t>
  </si>
  <si>
    <t xml:space="preserve">Karmaling</t>
  </si>
  <si>
    <t xml:space="preserve">313, 314</t>
  </si>
  <si>
    <t xml:space="preserve">Lhamoi Dzingkha, Nichula</t>
  </si>
  <si>
    <t xml:space="preserve">Lhamoi Dzingkha</t>
  </si>
  <si>
    <t xml:space="preserve">312, 314</t>
  </si>
  <si>
    <t xml:space="preserve">Karmaling, Nichula</t>
  </si>
  <si>
    <t xml:space="preserve">Nichula</t>
  </si>
  <si>
    <t xml:space="preserve">312, 313, 1313</t>
  </si>
  <si>
    <t xml:space="preserve">Karmaling, Lhamoi Dzingkha, Singye</t>
  </si>
  <si>
    <t xml:space="preserve">Samtenling</t>
  </si>
  <si>
    <t xml:space="preserve">1303, 1305, 1306</t>
  </si>
  <si>
    <t xml:space="preserve">Dekiling, Chhudzom, Gelephu</t>
  </si>
  <si>
    <t xml:space="preserve">Chhuzangang</t>
  </si>
  <si>
    <t xml:space="preserve">1306, 1312, 1315</t>
  </si>
  <si>
    <t xml:space="preserve">Gelephu, Serzhong, Umling</t>
  </si>
  <si>
    <t xml:space="preserve">Dekiling</t>
  </si>
  <si>
    <t xml:space="preserve">1301, 1305, 1307, 1311</t>
  </si>
  <si>
    <t xml:space="preserve">Samtenling, Chhudzom, Gakiling, Shompangkha</t>
  </si>
  <si>
    <t xml:space="preserve">Chhudzom</t>
  </si>
  <si>
    <t xml:space="preserve">1301, 1303, 1306, 1307, 1308</t>
  </si>
  <si>
    <t xml:space="preserve">Samtenling, Dekiling, Gelephu, Gakiling, Jigmechhoeling</t>
  </si>
  <si>
    <t xml:space="preserve">Gelephu</t>
  </si>
  <si>
    <t xml:space="preserve">1301, 1302, 1305, 1308, 1312</t>
  </si>
  <si>
    <t xml:space="preserve">Samtenling, Chhuzangang, Chhudzom, Jigmechhoeling, Serzhong</t>
  </si>
  <si>
    <t xml:space="preserve">Gakiling</t>
  </si>
  <si>
    <t xml:space="preserve">1303, 1305, 1311, 1313</t>
  </si>
  <si>
    <t xml:space="preserve">Dekiling, Chhudzom, Shompangkha, Singye</t>
  </si>
  <si>
    <t xml:space="preserve">Jigmechhoeling</t>
  </si>
  <si>
    <t xml:space="preserve">1305, 1306, 1312, 1315, 2006</t>
  </si>
  <si>
    <t xml:space="preserve">Chhudzom, Gelephu, Serzhong, Umling, Phangkhar</t>
  </si>
  <si>
    <t xml:space="preserve">Shompangkha</t>
  </si>
  <si>
    <t xml:space="preserve">1303, 1307</t>
  </si>
  <si>
    <t xml:space="preserve">Dekiling, Gakiling</t>
  </si>
  <si>
    <t xml:space="preserve">Serzhong</t>
  </si>
  <si>
    <t xml:space="preserve">1302, 1306, 1308, 1315</t>
  </si>
  <si>
    <t xml:space="preserve">Chhuzangang, Gelephu, Jigmechhoeling, Umling</t>
  </si>
  <si>
    <t xml:space="preserve">Singye</t>
  </si>
  <si>
    <t xml:space="preserve">314, 1307</t>
  </si>
  <si>
    <t xml:space="preserve">Nichula, Gakiling</t>
  </si>
  <si>
    <t xml:space="preserve">Tareythang</t>
  </si>
  <si>
    <t xml:space="preserve">1315, 2006</t>
  </si>
  <si>
    <t xml:space="preserve">Umling, Phangkhar</t>
  </si>
  <si>
    <t xml:space="preserve">Umling</t>
  </si>
  <si>
    <t xml:space="preserve">1302, 1308, 1312, 1314, 2006</t>
  </si>
  <si>
    <t xml:space="preserve">Chhuzangang, Jigmechhoeling, Serzhong, Tareythang, Phangkhar</t>
  </si>
  <si>
    <t xml:space="preserve">Ngangla</t>
  </si>
  <si>
    <t xml:space="preserve">2006</t>
  </si>
  <si>
    <t xml:space="preserve">Phangkhar</t>
  </si>
  <si>
    <t xml:space="preserve">1308, 1314, 1315, 2005</t>
  </si>
  <si>
    <t xml:space="preserve">Jigmechhoeling, Tareythang, Umling, Ngangla</t>
  </si>
  <si>
    <t xml:space="preserve">Total</t>
  </si>
  <si>
    <t xml:space="preserve">Notes:</t>
  </si>
  <si>
    <t xml:space="preserve">Neighbours = gewogs among the 17 that share a boundary segment (not just a corner point).</t>
  </si>
  <si>
    <t xml:space="preserve">Centroid = area-weighted polygon centroid of the gewog boundary in the supplied shapefile (WGS84 lon/lat).</t>
  </si>
  <si>
    <t xml:space="preserve">Mean elevation = average of the 'elevation' field of watersource.xlsx points falling inside each gewog (no DEM was provided).</t>
  </si>
  <si>
    <t xml:space="preserve">Water source count = points of watersource.xlsx inside each gewog polygon (spatial join).</t>
  </si>
  <si>
    <t xml:space="preserve">Ngangla (2005) is only partly inside GMC (25.2%); its figures use the full gewog polygon, since no GMC boundary was supplied.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</si>
</sst>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8" min="5" style="0" width="1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312</v>
      </c>
      <c r="B2" s="2" t="s">
        <v>8</v>
      </c>
      <c r="C2" s="2" t="s">
        <v>9</v>
      </c>
      <c r="D2" s="2" t="s">
        <v>10</v>
      </c>
      <c r="E2" s="2" t="n">
        <v>89.87508</v>
      </c>
      <c r="F2" s="2" t="n">
        <v>26.78892</v>
      </c>
      <c r="G2" s="2" t="n">
        <v>425.2</v>
      </c>
      <c r="H2" s="2" t="n">
        <v>31</v>
      </c>
    </row>
    <row r="3" customFormat="false" ht="15" hidden="false" customHeight="false" outlineLevel="0" collapsed="false">
      <c r="A3" s="2" t="n">
        <v>313</v>
      </c>
      <c r="B3" s="2" t="s">
        <v>11</v>
      </c>
      <c r="C3" s="2" t="s">
        <v>12</v>
      </c>
      <c r="D3" s="2" t="s">
        <v>13</v>
      </c>
      <c r="E3" s="2" t="n">
        <v>89.79615</v>
      </c>
      <c r="F3" s="2" t="n">
        <v>26.7536</v>
      </c>
      <c r="G3" s="2" t="n">
        <v>398.8</v>
      </c>
      <c r="H3" s="2" t="n">
        <v>20</v>
      </c>
    </row>
    <row r="4" customFormat="false" ht="15" hidden="false" customHeight="false" outlineLevel="0" collapsed="false">
      <c r="A4" s="2" t="n">
        <v>314</v>
      </c>
      <c r="B4" s="2" t="s">
        <v>14</v>
      </c>
      <c r="C4" s="2" t="s">
        <v>15</v>
      </c>
      <c r="D4" s="2" t="s">
        <v>16</v>
      </c>
      <c r="E4" s="2" t="n">
        <v>89.97864</v>
      </c>
      <c r="F4" s="2" t="n">
        <v>26.78065</v>
      </c>
      <c r="G4" s="2" t="n">
        <v>194.6</v>
      </c>
      <c r="H4" s="2" t="n">
        <v>24</v>
      </c>
    </row>
    <row r="5" customFormat="false" ht="15" hidden="false" customHeight="false" outlineLevel="0" collapsed="false">
      <c r="A5" s="2" t="n">
        <v>1301</v>
      </c>
      <c r="B5" s="2" t="s">
        <v>17</v>
      </c>
      <c r="C5" s="2" t="s">
        <v>18</v>
      </c>
      <c r="D5" s="2" t="s">
        <v>19</v>
      </c>
      <c r="E5" s="2" t="n">
        <v>90.43284</v>
      </c>
      <c r="F5" s="2" t="n">
        <v>26.92854</v>
      </c>
      <c r="G5" s="2" t="n">
        <v>728.9</v>
      </c>
      <c r="H5" s="2" t="n">
        <v>13</v>
      </c>
    </row>
    <row r="6" customFormat="false" ht="15" hidden="false" customHeight="false" outlineLevel="0" collapsed="false">
      <c r="A6" s="2" t="n">
        <v>1302</v>
      </c>
      <c r="B6" s="2" t="s">
        <v>20</v>
      </c>
      <c r="C6" s="2" t="s">
        <v>21</v>
      </c>
      <c r="D6" s="2" t="s">
        <v>22</v>
      </c>
      <c r="E6" s="2" t="n">
        <v>90.5219</v>
      </c>
      <c r="F6" s="2" t="n">
        <v>26.87438</v>
      </c>
      <c r="G6" s="2" t="n">
        <v>203.3</v>
      </c>
      <c r="H6" s="2" t="n">
        <v>11</v>
      </c>
    </row>
    <row r="7" customFormat="false" ht="15" hidden="false" customHeight="false" outlineLevel="0" collapsed="false">
      <c r="A7" s="2" t="n">
        <v>1303</v>
      </c>
      <c r="B7" s="2" t="s">
        <v>23</v>
      </c>
      <c r="C7" s="2" t="s">
        <v>24</v>
      </c>
      <c r="D7" s="2" t="s">
        <v>25</v>
      </c>
      <c r="E7" s="2" t="n">
        <v>90.35344</v>
      </c>
      <c r="F7" s="2" t="n">
        <v>26.94064</v>
      </c>
      <c r="G7" s="2" t="n">
        <v>610.5</v>
      </c>
      <c r="H7" s="2" t="n">
        <v>11</v>
      </c>
    </row>
    <row r="8" customFormat="false" ht="15" hidden="false" customHeight="false" outlineLevel="0" collapsed="false">
      <c r="A8" s="2" t="n">
        <v>1305</v>
      </c>
      <c r="B8" s="2" t="s">
        <v>26</v>
      </c>
      <c r="C8" s="2" t="s">
        <v>27</v>
      </c>
      <c r="D8" s="2" t="s">
        <v>28</v>
      </c>
      <c r="E8" s="2" t="n">
        <v>90.3447</v>
      </c>
      <c r="F8" s="2" t="n">
        <v>27.05435</v>
      </c>
      <c r="G8" s="2" t="n">
        <v>1470.7</v>
      </c>
      <c r="H8" s="2" t="n">
        <v>46</v>
      </c>
    </row>
    <row r="9" customFormat="false" ht="15" hidden="false" customHeight="false" outlineLevel="0" collapsed="false">
      <c r="A9" s="2" t="n">
        <v>1306</v>
      </c>
      <c r="B9" s="2" t="s">
        <v>29</v>
      </c>
      <c r="C9" s="2" t="s">
        <v>30</v>
      </c>
      <c r="D9" s="2" t="s">
        <v>31</v>
      </c>
      <c r="E9" s="2" t="n">
        <v>90.48466</v>
      </c>
      <c r="F9" s="2" t="n">
        <v>26.91952</v>
      </c>
      <c r="G9" s="2" t="n">
        <v>629.7</v>
      </c>
      <c r="H9" s="2" t="n">
        <v>12</v>
      </c>
    </row>
    <row r="10" customFormat="false" ht="15" hidden="false" customHeight="false" outlineLevel="0" collapsed="false">
      <c r="A10" s="2" t="n">
        <v>1307</v>
      </c>
      <c r="B10" s="2" t="s">
        <v>32</v>
      </c>
      <c r="C10" s="2" t="s">
        <v>33</v>
      </c>
      <c r="D10" s="2" t="s">
        <v>34</v>
      </c>
      <c r="E10" s="2" t="n">
        <v>90.25844</v>
      </c>
      <c r="F10" s="2" t="n">
        <v>26.94028</v>
      </c>
      <c r="G10" s="2" t="n">
        <v>788</v>
      </c>
      <c r="H10" s="2" t="n">
        <v>21</v>
      </c>
    </row>
    <row r="11" customFormat="false" ht="15" hidden="false" customHeight="false" outlineLevel="0" collapsed="false">
      <c r="A11" s="2" t="n">
        <v>1308</v>
      </c>
      <c r="B11" s="2" t="s">
        <v>35</v>
      </c>
      <c r="C11" s="2" t="s">
        <v>36</v>
      </c>
      <c r="D11" s="2" t="s">
        <v>37</v>
      </c>
      <c r="E11" s="2" t="n">
        <v>90.50572</v>
      </c>
      <c r="F11" s="2" t="n">
        <v>27.06941</v>
      </c>
      <c r="G11" s="2" t="n">
        <v>1322.8</v>
      </c>
      <c r="H11" s="2" t="n">
        <v>92</v>
      </c>
    </row>
    <row r="12" customFormat="false" ht="15" hidden="false" customHeight="false" outlineLevel="0" collapsed="false">
      <c r="A12" s="2" t="n">
        <v>1311</v>
      </c>
      <c r="B12" s="2" t="s">
        <v>38</v>
      </c>
      <c r="C12" s="2" t="s">
        <v>39</v>
      </c>
      <c r="D12" s="2" t="s">
        <v>40</v>
      </c>
      <c r="E12" s="2" t="n">
        <v>90.28674</v>
      </c>
      <c r="F12" s="2" t="n">
        <v>26.87314</v>
      </c>
      <c r="G12" s="2" t="n">
        <v>438.8</v>
      </c>
      <c r="H12" s="2" t="n">
        <v>14</v>
      </c>
    </row>
    <row r="13" customFormat="false" ht="15" hidden="false" customHeight="false" outlineLevel="0" collapsed="false">
      <c r="A13" s="2" t="n">
        <v>1312</v>
      </c>
      <c r="B13" s="2" t="s">
        <v>41</v>
      </c>
      <c r="C13" s="2" t="s">
        <v>42</v>
      </c>
      <c r="D13" s="2" t="s">
        <v>43</v>
      </c>
      <c r="E13" s="2" t="n">
        <v>90.5622</v>
      </c>
      <c r="F13" s="2" t="n">
        <v>26.92891</v>
      </c>
      <c r="G13" s="2" t="n">
        <v>381.2</v>
      </c>
      <c r="H13" s="2" t="n">
        <v>25</v>
      </c>
    </row>
    <row r="14" customFormat="false" ht="15" hidden="false" customHeight="false" outlineLevel="0" collapsed="false">
      <c r="A14" s="2" t="n">
        <v>1313</v>
      </c>
      <c r="B14" s="2" t="s">
        <v>44</v>
      </c>
      <c r="C14" s="2" t="s">
        <v>45</v>
      </c>
      <c r="D14" s="2" t="s">
        <v>46</v>
      </c>
      <c r="E14" s="2" t="n">
        <v>90.13114</v>
      </c>
      <c r="F14" s="2" t="n">
        <v>26.81563</v>
      </c>
      <c r="G14" s="2" t="n">
        <v>409.1</v>
      </c>
      <c r="H14" s="2" t="n">
        <v>9</v>
      </c>
    </row>
    <row r="15" customFormat="false" ht="15" hidden="false" customHeight="false" outlineLevel="0" collapsed="false">
      <c r="A15" s="2" t="n">
        <v>1314</v>
      </c>
      <c r="B15" s="2" t="s">
        <v>47</v>
      </c>
      <c r="C15" s="2" t="s">
        <v>48</v>
      </c>
      <c r="D15" s="2" t="s">
        <v>49</v>
      </c>
      <c r="E15" s="2" t="n">
        <v>90.67002</v>
      </c>
      <c r="F15" s="2" t="n">
        <v>26.80777</v>
      </c>
      <c r="G15" s="2" t="n">
        <v>427.3</v>
      </c>
      <c r="H15" s="2" t="n">
        <v>11</v>
      </c>
    </row>
    <row r="16" customFormat="false" ht="15" hidden="false" customHeight="false" outlineLevel="0" collapsed="false">
      <c r="A16" s="2" t="n">
        <v>1315</v>
      </c>
      <c r="B16" s="2" t="s">
        <v>50</v>
      </c>
      <c r="C16" s="2" t="s">
        <v>51</v>
      </c>
      <c r="D16" s="2" t="s">
        <v>52</v>
      </c>
      <c r="E16" s="2" t="n">
        <v>90.61371</v>
      </c>
      <c r="F16" s="2" t="n">
        <v>26.90191</v>
      </c>
      <c r="G16" s="2" t="n">
        <v>327.1</v>
      </c>
      <c r="H16" s="2" t="n">
        <v>18</v>
      </c>
    </row>
    <row r="17" customFormat="false" ht="15" hidden="false" customHeight="false" outlineLevel="0" collapsed="false">
      <c r="A17" s="2" t="n">
        <v>2005</v>
      </c>
      <c r="B17" s="2" t="s">
        <v>53</v>
      </c>
      <c r="C17" s="2" t="s">
        <v>54</v>
      </c>
      <c r="D17" s="2" t="s">
        <v>55</v>
      </c>
      <c r="E17" s="2" t="n">
        <v>90.98749</v>
      </c>
      <c r="F17" s="2" t="n">
        <v>26.89384</v>
      </c>
      <c r="G17" s="2" t="n">
        <v>621.9</v>
      </c>
      <c r="H17" s="2" t="n">
        <v>44</v>
      </c>
    </row>
    <row r="18" customFormat="false" ht="15" hidden="false" customHeight="false" outlineLevel="0" collapsed="false">
      <c r="A18" s="2" t="n">
        <v>2006</v>
      </c>
      <c r="B18" s="2" t="s">
        <v>55</v>
      </c>
      <c r="C18" s="2" t="s">
        <v>56</v>
      </c>
      <c r="D18" s="2" t="s">
        <v>57</v>
      </c>
      <c r="E18" s="2" t="n">
        <v>90.7918</v>
      </c>
      <c r="F18" s="2" t="n">
        <v>26.88523</v>
      </c>
      <c r="G18" s="2" t="n">
        <v>732.3</v>
      </c>
      <c r="H18" s="2" t="n">
        <v>15</v>
      </c>
    </row>
    <row r="19" customFormat="false" ht="15" hidden="false" customHeight="false" outlineLevel="0" collapsed="false">
      <c r="A19" s="3" t="s">
        <v>58</v>
      </c>
      <c r="B19" s="3"/>
      <c r="C19" s="3"/>
      <c r="D19" s="3"/>
      <c r="E19" s="3"/>
      <c r="F19" s="3"/>
      <c r="G19" s="3"/>
      <c r="H19" s="3" t="n">
        <f aca="false">SUM(H2:H18)</f>
        <v>417</v>
      </c>
    </row>
    <row r="21" customFormat="false" ht="15" hidden="false" customHeight="false" outlineLevel="0" collapsed="false">
      <c r="A21" s="4" t="s">
        <v>59</v>
      </c>
    </row>
    <row r="22" customFormat="false" ht="15" hidden="false" customHeight="false" outlineLevel="0" collapsed="false">
      <c r="A22" s="5" t="s">
        <v>60</v>
      </c>
    </row>
    <row r="23" customFormat="false" ht="15" hidden="false" customHeight="false" outlineLevel="0" collapsed="false">
      <c r="A23" s="5" t="s">
        <v>61</v>
      </c>
    </row>
    <row r="24" customFormat="false" ht="15" hidden="false" customHeight="false" outlineLevel="0" collapsed="false">
      <c r="A24" s="5" t="s">
        <v>62</v>
      </c>
    </row>
    <row r="25" customFormat="false" ht="15" hidden="false" customHeight="false" outlineLevel="0" collapsed="false">
      <c r="A25" s="5" t="s">
        <v>63</v>
      </c>
    </row>
    <row r="26" customFormat="false" ht="15" hidden="false" customHeight="false" outlineLevel="0" collapsed="false">
      <c r="A26" s="5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2026-10-27T15:47:39Z</dcterms:created>
  <dc:creator>openpyxl</dc:creator>
  <dc:description/>
  <dc:language>en-US</dc:language>
  <cp:lastModifiedBy/>
  <dcterms:modified xsi:type="dcterms:W3CDTF">2026-10-27T15:47:39Z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